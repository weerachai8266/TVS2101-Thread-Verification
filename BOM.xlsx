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from_\CWT-Thread-Verification\"/>
    </mc:Choice>
  </mc:AlternateContent>
  <xr:revisionPtr revIDLastSave="0" documentId="13_ncr:1_{832306E5-012F-4A1E-9DCA-FBEF79FB20C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5" i="1" l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4" i="1"/>
  <c r="J25" i="1"/>
  <c r="J26" i="1"/>
  <c r="J27" i="1"/>
  <c r="J28" i="1"/>
  <c r="J29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J23" i="1" s="1"/>
  <c r="H24" i="1"/>
  <c r="H25" i="1"/>
  <c r="H26" i="1"/>
  <c r="H27" i="1"/>
  <c r="H28" i="1"/>
  <c r="H29" i="1"/>
  <c r="H5" i="1"/>
  <c r="P23" i="1"/>
  <c r="M13" i="1"/>
  <c r="P13" i="1" s="1"/>
  <c r="M14" i="1"/>
  <c r="P14" i="1" s="1"/>
  <c r="M15" i="1"/>
  <c r="M18" i="1"/>
  <c r="P18" i="1" s="1"/>
  <c r="M19" i="1"/>
  <c r="P19" i="1" s="1"/>
  <c r="M22" i="1"/>
  <c r="P22" i="1" s="1"/>
  <c r="M23" i="1"/>
  <c r="O15" i="1"/>
  <c r="P16" i="1"/>
  <c r="O14" i="1"/>
  <c r="P9" i="1"/>
  <c r="P10" i="1"/>
  <c r="P29" i="1"/>
  <c r="P28" i="1"/>
  <c r="P6" i="1"/>
  <c r="P7" i="1"/>
  <c r="P5" i="1"/>
  <c r="N8" i="1"/>
  <c r="P8" i="1" s="1"/>
  <c r="P15" i="1" l="1"/>
  <c r="J31" i="1"/>
  <c r="I31" i="1"/>
</calcChain>
</file>

<file path=xl/sharedStrings.xml><?xml version="1.0" encoding="utf-8"?>
<sst xmlns="http://schemas.openxmlformats.org/spreadsheetml/2006/main" count="55" uniqueCount="55">
  <si>
    <t>NO.</t>
  </si>
  <si>
    <t>GM65</t>
  </si>
  <si>
    <t>1D 2D Barcode Scanner USB UART</t>
  </si>
  <si>
    <t>ESP32</t>
  </si>
  <si>
    <t>TYPE-C 30PIN</t>
  </si>
  <si>
    <t>ITEM</t>
  </si>
  <si>
    <t>DE</t>
  </si>
  <si>
    <t>SRD-05VDC-SL-C</t>
  </si>
  <si>
    <t>รีเลย์ 5V 10A 250V</t>
  </si>
  <si>
    <t>QTY</t>
  </si>
  <si>
    <t>PICE</t>
  </si>
  <si>
    <t>TOTAL</t>
  </si>
  <si>
    <t>HLK-5M05 5VDC 5W</t>
  </si>
  <si>
    <t>AC-DC 5V 5W</t>
  </si>
  <si>
    <t>ULN2003</t>
  </si>
  <si>
    <t>High-Current Darlington Transistor Arrays 7CH</t>
  </si>
  <si>
    <t>RFID</t>
  </si>
  <si>
    <t>ACR122U - A9</t>
  </si>
  <si>
    <t>บัตรคีย์การ์ด PVC RFID ความถี่ 13.56 MHz</t>
  </si>
  <si>
    <t>USB 13.56MHz NFC Reader/Writer RFID Copier Duplicator</t>
  </si>
  <si>
    <t>PCB</t>
  </si>
  <si>
    <t>RC522</t>
  </si>
  <si>
    <t>RC522 RFID</t>
  </si>
  <si>
    <t>LAMP-GREEN</t>
  </si>
  <si>
    <t>LAMP-RED ALARM</t>
  </si>
  <si>
    <t>LAMP-G</t>
  </si>
  <si>
    <t>LAMP-R</t>
  </si>
  <si>
    <t>PETG Filament</t>
  </si>
  <si>
    <t>Hi Speed PETG Filament (Jamg he) 1.75 , 1 kg by In2real3d</t>
  </si>
  <si>
    <t>จำนวน</t>
  </si>
  <si>
    <t>ราคา</t>
  </si>
  <si>
    <t>ขนาด3.81มม. 15EDG 3.81-4</t>
  </si>
  <si>
    <t>เทอร์มินัลปลั๊กเสียบ</t>
  </si>
  <si>
    <t>Fuse</t>
  </si>
  <si>
    <t>1A 250V 392ฟิวส์สี่เหลี่ยม</t>
  </si>
  <si>
    <t>Header Connector</t>
  </si>
  <si>
    <t>15Pin 2.54Mm Pitch 1x15Pin</t>
  </si>
  <si>
    <t>Photoelectric</t>
  </si>
  <si>
    <t>Optocoupler ก้ามปู</t>
  </si>
  <si>
    <t>R, D, LED, Nut</t>
  </si>
  <si>
    <t xml:space="preserve">JST XH2.54 Terminal XH 2.54 มม.Pitch 5 Pin </t>
  </si>
  <si>
    <t xml:space="preserve">JST XH2.54 Terminal XH 2.54 มม.Pitch 3 Pin </t>
  </si>
  <si>
    <t>Terminal XH 2.54 Pin 5</t>
  </si>
  <si>
    <t>Terminal XH 2.54 Pin 3</t>
  </si>
  <si>
    <t>KV142V 5.08P</t>
  </si>
  <si>
    <t>BC547</t>
  </si>
  <si>
    <t>NPN Transistor</t>
  </si>
  <si>
    <t>Switch</t>
  </si>
  <si>
    <t>3A/250V</t>
  </si>
  <si>
    <t>KF142V 5.08 มิลลิเมตร PCB สปริง</t>
  </si>
  <si>
    <t>ค่าแรง</t>
  </si>
  <si>
    <t>ค่าไฟ</t>
  </si>
  <si>
    <t>ตะกั่ว</t>
  </si>
  <si>
    <t>PICE*x</t>
  </si>
  <si>
    <t>TOTAL*x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</si>
</sst>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&quot;$&quot;#,##0.00_);[Red]\(&quot;$&quot;#,##0.00\)"/>
    <numFmt numFmtId="43" formatCode="_(* #,##0.00_);_(* \(#,##0.00\);_(* &quot;-&quot;??_);_(@_)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theme="1"/>
      <name val="Comic Sans MS"/>
      <family val="4"/>
    </font>
    <font>
      <b/>
      <sz val="11"/>
      <color rgb="FF006100"/>
      <name val="Comic Sans MS"/>
      <family val="4"/>
    </font>
  </fonts>
  <fills count="3">
    <fill>
      <patternFill patternType="none"/>
    </fill>
    <fill>
      <patternFill patternType="gray125"/>
    </fill>
    <fill>
      <patternFill patternType="solid">
        <fgColor rgb="FFC6EFCE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" fillId="2" borderId="0" applyNumberFormat="0" applyBorder="0" applyAlignment="0" applyProtection="0"/>
  </cellStyleXfs>
  <cellXfs count="28">
    <xf numFmtId="0" fontId="0" fillId="0" borderId="0" xfId="0"/>
    <xf numFmtId="0" fontId="4" fillId="2" borderId="1" xfId="3" applyFont="1" applyBorder="1" applyAlignment="1">
      <alignment horizontal="center" vertical="center"/>
    </xf>
    <xf numFmtId="0" fontId="4" fillId="2" borderId="1" xfId="3" applyFont="1" applyBorder="1" applyAlignment="1">
      <alignment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vertical="center"/>
    </xf>
    <xf numFmtId="9" fontId="3" fillId="0" borderId="0" xfId="2" applyFont="1" applyAlignment="1">
      <alignment vertical="center"/>
    </xf>
    <xf numFmtId="43" fontId="3" fillId="0" borderId="0" xfId="1" applyFont="1" applyAlignment="1">
      <alignment vertical="center"/>
    </xf>
    <xf numFmtId="0" fontId="3" fillId="0" borderId="2" xfId="0" applyFont="1" applyBorder="1" applyAlignment="1">
      <alignment horizontal="center" vertical="center"/>
    </xf>
    <xf numFmtId="0" fontId="3" fillId="0" borderId="2" xfId="0" applyFont="1" applyBorder="1" applyAlignment="1">
      <alignment vertical="center"/>
    </xf>
    <xf numFmtId="4" fontId="3" fillId="0" borderId="0" xfId="0" applyNumberFormat="1" applyFont="1" applyAlignment="1">
      <alignment vertical="center"/>
    </xf>
    <xf numFmtId="0" fontId="3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vertical="center"/>
    </xf>
    <xf numFmtId="4" fontId="3" fillId="0" borderId="0" xfId="0" applyNumberFormat="1" applyFont="1" applyAlignment="1">
      <alignment vertical="center" wrapText="1"/>
    </xf>
    <xf numFmtId="2" fontId="3" fillId="0" borderId="0" xfId="0" applyNumberFormat="1" applyFont="1" applyAlignment="1">
      <alignment vertical="center"/>
    </xf>
    <xf numFmtId="8" fontId="3" fillId="0" borderId="0" xfId="0" applyNumberFormat="1" applyFont="1" applyAlignment="1">
      <alignment vertical="center"/>
    </xf>
    <xf numFmtId="0" fontId="3" fillId="0" borderId="4" xfId="0" applyFont="1" applyBorder="1" applyAlignment="1">
      <alignment horizontal="center" vertical="center"/>
    </xf>
    <xf numFmtId="0" fontId="3" fillId="0" borderId="4" xfId="0" applyFont="1" applyBorder="1" applyAlignment="1">
      <alignment vertical="center"/>
    </xf>
    <xf numFmtId="0" fontId="3" fillId="0" borderId="0" xfId="0" applyFont="1" applyAlignment="1">
      <alignment vertical="center" wrapText="1"/>
    </xf>
    <xf numFmtId="0" fontId="3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vertical="center"/>
    </xf>
    <xf numFmtId="0" fontId="3" fillId="0" borderId="6" xfId="0" applyFont="1" applyBorder="1" applyAlignment="1">
      <alignment horizontal="center" vertical="center"/>
    </xf>
    <xf numFmtId="43" fontId="3" fillId="0" borderId="2" xfId="1" applyFont="1" applyBorder="1" applyAlignment="1">
      <alignment vertical="center"/>
    </xf>
    <xf numFmtId="43" fontId="3" fillId="0" borderId="3" xfId="1" applyFont="1" applyBorder="1" applyAlignment="1">
      <alignment vertical="center"/>
    </xf>
    <xf numFmtId="43" fontId="3" fillId="0" borderId="4" xfId="1" applyFont="1" applyBorder="1" applyAlignment="1">
      <alignment vertical="center"/>
    </xf>
    <xf numFmtId="43" fontId="3" fillId="0" borderId="6" xfId="1" applyFont="1" applyBorder="1" applyAlignment="1">
      <alignment vertical="center"/>
    </xf>
    <xf numFmtId="43" fontId="3" fillId="0" borderId="7" xfId="1" applyFont="1" applyBorder="1" applyAlignment="1">
      <alignment vertical="center"/>
    </xf>
    <xf numFmtId="43" fontId="3" fillId="0" borderId="0" xfId="0" applyNumberFormat="1" applyFont="1" applyAlignment="1">
      <alignment vertical="center"/>
    </xf>
    <xf numFmtId="3" fontId="3" fillId="0" borderId="0" xfId="0" applyNumberFormat="1" applyFont="1" applyAlignment="1">
      <alignment horizontal="center" vertical="center"/>
    </xf>
  </cellXfs>
  <cellStyles count="4">
    <cellStyle name="Comma" xfId="1" builtinId="3"/>
    <cellStyle name="Good" xfId="3" builtinId="26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3:Q37"/>
  <sheetViews>
    <sheetView showGridLines="0" tabSelected="1" workbookViewId="0">
      <selection activeCell="E24" sqref="E24"/>
    </sheetView>
  </sheetViews>
  <sheetFormatPr defaultRowHeight="16.5" x14ac:dyDescent="0.25"/>
  <cols>
    <col min="1" max="2" width="9.140625" style="4"/>
    <col min="3" max="3" width="9.28515625" style="3" bestFit="1" customWidth="1"/>
    <col min="4" max="4" width="26.7109375" style="4" customWidth="1"/>
    <col min="5" max="5" width="52.28515625" style="4" bestFit="1" customWidth="1"/>
    <col min="6" max="6" width="9.28515625" style="3" bestFit="1" customWidth="1"/>
    <col min="7" max="10" width="14" style="4" customWidth="1"/>
    <col min="11" max="12" width="9.140625" style="4"/>
    <col min="13" max="13" width="9.28515625" style="4" bestFit="1" customWidth="1"/>
    <col min="14" max="14" width="10" style="4" bestFit="1" customWidth="1"/>
    <col min="15" max="15" width="9.28515625" style="4" bestFit="1" customWidth="1"/>
    <col min="16" max="16" width="14.7109375" style="6" customWidth="1"/>
    <col min="17" max="17" width="9.28515625" style="4" bestFit="1" customWidth="1"/>
    <col min="18" max="16384" width="9.140625" style="4"/>
  </cols>
  <sheetData>
    <row r="3" spans="3:16" x14ac:dyDescent="0.25">
      <c r="H3" s="5">
        <v>1</v>
      </c>
    </row>
    <row r="4" spans="3:16" ht="18" x14ac:dyDescent="0.25">
      <c r="C4" s="1" t="s">
        <v>0</v>
      </c>
      <c r="D4" s="2" t="s">
        <v>5</v>
      </c>
      <c r="E4" s="2" t="s">
        <v>6</v>
      </c>
      <c r="F4" s="1" t="s">
        <v>9</v>
      </c>
      <c r="G4" s="2" t="s">
        <v>10</v>
      </c>
      <c r="H4" s="2" t="s">
        <v>53</v>
      </c>
      <c r="I4" s="2" t="s">
        <v>11</v>
      </c>
      <c r="J4" s="2" t="s">
        <v>54</v>
      </c>
      <c r="N4" s="4" t="s">
        <v>30</v>
      </c>
      <c r="O4" s="4" t="s">
        <v>29</v>
      </c>
    </row>
    <row r="5" spans="3:16" x14ac:dyDescent="0.25">
      <c r="C5" s="7">
        <v>1</v>
      </c>
      <c r="D5" s="8" t="s">
        <v>1</v>
      </c>
      <c r="E5" s="8" t="s">
        <v>2</v>
      </c>
      <c r="F5" s="7">
        <v>2</v>
      </c>
      <c r="G5" s="21">
        <v>640.57000000000005</v>
      </c>
      <c r="H5" s="21">
        <f>(G5*$H$3)+G5</f>
        <v>1281.1400000000001</v>
      </c>
      <c r="I5" s="21">
        <f>G5*$F5</f>
        <v>1281.1400000000001</v>
      </c>
      <c r="J5" s="21">
        <f>H5*$F5</f>
        <v>2562.2800000000002</v>
      </c>
      <c r="N5" s="9">
        <v>6405.66</v>
      </c>
      <c r="O5" s="4">
        <v>10</v>
      </c>
      <c r="P5" s="6">
        <f>N5/O5</f>
        <v>640.56600000000003</v>
      </c>
    </row>
    <row r="6" spans="3:16" x14ac:dyDescent="0.25">
      <c r="C6" s="10">
        <v>2</v>
      </c>
      <c r="D6" s="11" t="s">
        <v>3</v>
      </c>
      <c r="E6" s="11" t="s">
        <v>4</v>
      </c>
      <c r="F6" s="10">
        <v>1</v>
      </c>
      <c r="G6" s="22">
        <v>128.19999999999999</v>
      </c>
      <c r="H6" s="22">
        <f t="shared" ref="H6:H29" si="0">(G6*$H$3)+G6</f>
        <v>256.39999999999998</v>
      </c>
      <c r="I6" s="22">
        <f t="shared" ref="I6:J29" si="1">G6*$F6</f>
        <v>128.19999999999999</v>
      </c>
      <c r="J6" s="22">
        <f t="shared" si="1"/>
        <v>256.39999999999998</v>
      </c>
      <c r="N6" s="12">
        <v>1281.98</v>
      </c>
      <c r="O6" s="4">
        <v>10</v>
      </c>
      <c r="P6" s="6">
        <f t="shared" ref="P6:P7" si="2">N6/O6</f>
        <v>128.19800000000001</v>
      </c>
    </row>
    <row r="7" spans="3:16" x14ac:dyDescent="0.25">
      <c r="C7" s="10">
        <v>3</v>
      </c>
      <c r="D7" s="11" t="s">
        <v>7</v>
      </c>
      <c r="E7" s="11" t="s">
        <v>8</v>
      </c>
      <c r="F7" s="10">
        <v>5</v>
      </c>
      <c r="G7" s="22">
        <v>8.35</v>
      </c>
      <c r="H7" s="22">
        <f t="shared" si="0"/>
        <v>16.7</v>
      </c>
      <c r="I7" s="22">
        <f t="shared" si="1"/>
        <v>41.75</v>
      </c>
      <c r="J7" s="22">
        <f t="shared" si="1"/>
        <v>83.5</v>
      </c>
      <c r="N7" s="4">
        <v>417.5</v>
      </c>
      <c r="O7" s="4">
        <v>50</v>
      </c>
      <c r="P7" s="6">
        <f t="shared" si="2"/>
        <v>8.35</v>
      </c>
    </row>
    <row r="8" spans="3:16" x14ac:dyDescent="0.25">
      <c r="C8" s="10">
        <v>4</v>
      </c>
      <c r="D8" s="11" t="s">
        <v>14</v>
      </c>
      <c r="E8" s="11" t="s">
        <v>15</v>
      </c>
      <c r="F8" s="10">
        <v>1</v>
      </c>
      <c r="G8" s="22">
        <v>4.58</v>
      </c>
      <c r="H8" s="22">
        <f t="shared" si="0"/>
        <v>9.16</v>
      </c>
      <c r="I8" s="22">
        <f t="shared" si="1"/>
        <v>4.58</v>
      </c>
      <c r="J8" s="22">
        <f t="shared" si="1"/>
        <v>9.16</v>
      </c>
      <c r="N8" s="4">
        <f>120+17.5</f>
        <v>137.5</v>
      </c>
      <c r="O8" s="4">
        <v>30</v>
      </c>
      <c r="P8" s="6">
        <f>N8/O8</f>
        <v>4.583333333333333</v>
      </c>
    </row>
    <row r="9" spans="3:16" x14ac:dyDescent="0.25">
      <c r="C9" s="10">
        <v>5</v>
      </c>
      <c r="D9" s="11" t="s">
        <v>12</v>
      </c>
      <c r="E9" s="11" t="s">
        <v>13</v>
      </c>
      <c r="F9" s="10">
        <v>1</v>
      </c>
      <c r="G9" s="22">
        <v>99</v>
      </c>
      <c r="H9" s="22">
        <f t="shared" si="0"/>
        <v>198</v>
      </c>
      <c r="I9" s="22">
        <f t="shared" si="1"/>
        <v>99</v>
      </c>
      <c r="J9" s="22">
        <f t="shared" si="1"/>
        <v>198</v>
      </c>
      <c r="N9" s="4">
        <v>495</v>
      </c>
      <c r="O9" s="4">
        <v>5</v>
      </c>
      <c r="P9" s="6">
        <f>N9/O9</f>
        <v>99</v>
      </c>
    </row>
    <row r="10" spans="3:16" x14ac:dyDescent="0.25">
      <c r="C10" s="10">
        <v>6</v>
      </c>
      <c r="D10" s="11" t="s">
        <v>21</v>
      </c>
      <c r="E10" s="11" t="s">
        <v>22</v>
      </c>
      <c r="F10" s="10">
        <v>1</v>
      </c>
      <c r="G10" s="22">
        <v>45.8</v>
      </c>
      <c r="H10" s="22">
        <f t="shared" si="0"/>
        <v>91.6</v>
      </c>
      <c r="I10" s="22">
        <f t="shared" si="1"/>
        <v>45.8</v>
      </c>
      <c r="J10" s="22">
        <f t="shared" si="1"/>
        <v>91.6</v>
      </c>
      <c r="N10" s="4">
        <v>229</v>
      </c>
      <c r="O10" s="4">
        <v>5</v>
      </c>
      <c r="P10" s="6">
        <f t="shared" ref="P10" si="3">N10/O10</f>
        <v>45.8</v>
      </c>
    </row>
    <row r="11" spans="3:16" x14ac:dyDescent="0.25">
      <c r="C11" s="10">
        <v>7</v>
      </c>
      <c r="D11" s="11" t="s">
        <v>25</v>
      </c>
      <c r="E11" s="11" t="s">
        <v>23</v>
      </c>
      <c r="F11" s="10">
        <v>2</v>
      </c>
      <c r="G11" s="22">
        <v>9</v>
      </c>
      <c r="H11" s="22">
        <f t="shared" si="0"/>
        <v>18</v>
      </c>
      <c r="I11" s="22">
        <f t="shared" si="1"/>
        <v>18</v>
      </c>
      <c r="J11" s="22">
        <f t="shared" si="1"/>
        <v>36</v>
      </c>
    </row>
    <row r="12" spans="3:16" x14ac:dyDescent="0.25">
      <c r="C12" s="10">
        <v>8</v>
      </c>
      <c r="D12" s="11" t="s">
        <v>26</v>
      </c>
      <c r="E12" s="11" t="s">
        <v>24</v>
      </c>
      <c r="F12" s="10">
        <v>2</v>
      </c>
      <c r="G12" s="22">
        <v>29</v>
      </c>
      <c r="H12" s="22">
        <f t="shared" si="0"/>
        <v>58</v>
      </c>
      <c r="I12" s="22">
        <f t="shared" si="1"/>
        <v>58</v>
      </c>
      <c r="J12" s="22">
        <f t="shared" si="1"/>
        <v>116</v>
      </c>
    </row>
    <row r="13" spans="3:16" x14ac:dyDescent="0.25">
      <c r="C13" s="10">
        <v>9</v>
      </c>
      <c r="D13" s="11" t="s">
        <v>37</v>
      </c>
      <c r="E13" s="11" t="s">
        <v>38</v>
      </c>
      <c r="F13" s="10">
        <v>2</v>
      </c>
      <c r="G13" s="22">
        <v>0.24</v>
      </c>
      <c r="H13" s="22">
        <f t="shared" si="0"/>
        <v>0.48</v>
      </c>
      <c r="I13" s="22">
        <f t="shared" si="1"/>
        <v>0.48</v>
      </c>
      <c r="J13" s="22">
        <f t="shared" si="1"/>
        <v>0.96</v>
      </c>
      <c r="M13" s="13">
        <f t="shared" ref="M13:M22" si="4">N13*35</f>
        <v>9.4500000000000011</v>
      </c>
      <c r="N13" s="14">
        <v>0.27</v>
      </c>
      <c r="O13" s="4">
        <v>40</v>
      </c>
      <c r="P13" s="6">
        <f>M13/O13</f>
        <v>0.23625000000000002</v>
      </c>
    </row>
    <row r="14" spans="3:16" x14ac:dyDescent="0.25">
      <c r="C14" s="10">
        <v>10</v>
      </c>
      <c r="D14" s="11" t="s">
        <v>32</v>
      </c>
      <c r="E14" s="11" t="s">
        <v>31</v>
      </c>
      <c r="F14" s="10">
        <v>1</v>
      </c>
      <c r="G14" s="22">
        <v>29.98</v>
      </c>
      <c r="H14" s="22">
        <f t="shared" si="0"/>
        <v>59.96</v>
      </c>
      <c r="I14" s="22">
        <f t="shared" si="1"/>
        <v>29.98</v>
      </c>
      <c r="J14" s="22">
        <f t="shared" si="1"/>
        <v>59.96</v>
      </c>
      <c r="M14" s="13">
        <f t="shared" si="4"/>
        <v>599.54999999999995</v>
      </c>
      <c r="N14" s="14">
        <v>17.13</v>
      </c>
      <c r="O14" s="4">
        <f>5*4</f>
        <v>20</v>
      </c>
      <c r="P14" s="6">
        <f t="shared" ref="P14:P15" si="5">M14/O14</f>
        <v>29.977499999999999</v>
      </c>
    </row>
    <row r="15" spans="3:16" x14ac:dyDescent="0.25">
      <c r="C15" s="10">
        <v>11</v>
      </c>
      <c r="D15" s="11" t="s">
        <v>35</v>
      </c>
      <c r="E15" s="11" t="s">
        <v>36</v>
      </c>
      <c r="F15" s="10">
        <v>2</v>
      </c>
      <c r="G15" s="22">
        <v>0.28000000000000003</v>
      </c>
      <c r="H15" s="22">
        <f t="shared" si="0"/>
        <v>0.56000000000000005</v>
      </c>
      <c r="I15" s="22">
        <f t="shared" si="1"/>
        <v>0.56000000000000005</v>
      </c>
      <c r="J15" s="22">
        <f t="shared" si="1"/>
        <v>1.1200000000000001</v>
      </c>
      <c r="M15" s="13">
        <f t="shared" si="4"/>
        <v>22.400000000000002</v>
      </c>
      <c r="N15" s="14">
        <v>0.64</v>
      </c>
      <c r="O15" s="4">
        <f>20*4</f>
        <v>80</v>
      </c>
      <c r="P15" s="6">
        <f t="shared" si="5"/>
        <v>0.28000000000000003</v>
      </c>
    </row>
    <row r="16" spans="3:16" x14ac:dyDescent="0.25">
      <c r="C16" s="10">
        <v>12</v>
      </c>
      <c r="D16" s="11" t="s">
        <v>42</v>
      </c>
      <c r="E16" s="11" t="s">
        <v>40</v>
      </c>
      <c r="F16" s="10">
        <v>2</v>
      </c>
      <c r="G16" s="22">
        <v>1.46</v>
      </c>
      <c r="H16" s="22">
        <f t="shared" si="0"/>
        <v>2.92</v>
      </c>
      <c r="I16" s="22">
        <f t="shared" si="1"/>
        <v>2.92</v>
      </c>
      <c r="J16" s="22">
        <f t="shared" si="1"/>
        <v>5.84</v>
      </c>
      <c r="M16" s="13"/>
      <c r="N16" s="13">
        <v>73</v>
      </c>
      <c r="O16" s="4">
        <v>50</v>
      </c>
      <c r="P16" s="6">
        <f t="shared" ref="P16" si="6">N16/O16</f>
        <v>1.46</v>
      </c>
    </row>
    <row r="17" spans="3:17" x14ac:dyDescent="0.25">
      <c r="C17" s="10">
        <v>13</v>
      </c>
      <c r="D17" s="11" t="s">
        <v>43</v>
      </c>
      <c r="E17" s="11" t="s">
        <v>41</v>
      </c>
      <c r="F17" s="10">
        <v>2</v>
      </c>
      <c r="G17" s="22">
        <v>1.46</v>
      </c>
      <c r="H17" s="22">
        <f t="shared" si="0"/>
        <v>2.92</v>
      </c>
      <c r="I17" s="22">
        <f t="shared" si="1"/>
        <v>2.92</v>
      </c>
      <c r="J17" s="22">
        <f t="shared" si="1"/>
        <v>5.84</v>
      </c>
      <c r="M17" s="13"/>
    </row>
    <row r="18" spans="3:17" x14ac:dyDescent="0.25">
      <c r="C18" s="10">
        <v>14</v>
      </c>
      <c r="D18" s="11" t="s">
        <v>44</v>
      </c>
      <c r="E18" s="11" t="s">
        <v>49</v>
      </c>
      <c r="F18" s="10">
        <v>7</v>
      </c>
      <c r="G18" s="22">
        <v>3.49</v>
      </c>
      <c r="H18" s="22">
        <f t="shared" si="0"/>
        <v>6.98</v>
      </c>
      <c r="I18" s="22">
        <f t="shared" si="1"/>
        <v>24.43</v>
      </c>
      <c r="J18" s="22">
        <f t="shared" si="1"/>
        <v>48.86</v>
      </c>
      <c r="M18" s="13">
        <f t="shared" si="4"/>
        <v>348.6</v>
      </c>
      <c r="N18" s="14">
        <v>9.9600000000000009</v>
      </c>
      <c r="O18" s="4">
        <v>100</v>
      </c>
      <c r="P18" s="6">
        <f t="shared" ref="P18:P19" si="7">M18/O18</f>
        <v>3.4860000000000002</v>
      </c>
    </row>
    <row r="19" spans="3:17" x14ac:dyDescent="0.25">
      <c r="C19" s="10">
        <v>15</v>
      </c>
      <c r="D19" s="11" t="s">
        <v>20</v>
      </c>
      <c r="E19" s="11"/>
      <c r="F19" s="10">
        <v>1</v>
      </c>
      <c r="G19" s="22">
        <v>33.47</v>
      </c>
      <c r="H19" s="22">
        <f t="shared" si="0"/>
        <v>66.94</v>
      </c>
      <c r="I19" s="22">
        <f t="shared" si="1"/>
        <v>33.47</v>
      </c>
      <c r="J19" s="22">
        <f t="shared" si="1"/>
        <v>66.94</v>
      </c>
      <c r="M19" s="13">
        <f t="shared" si="4"/>
        <v>1171.45</v>
      </c>
      <c r="N19" s="14">
        <v>33.47</v>
      </c>
      <c r="O19" s="4">
        <v>10</v>
      </c>
      <c r="P19" s="6">
        <f t="shared" si="7"/>
        <v>117.14500000000001</v>
      </c>
    </row>
    <row r="20" spans="3:17" x14ac:dyDescent="0.25">
      <c r="C20" s="10">
        <v>16</v>
      </c>
      <c r="D20" s="11" t="s">
        <v>27</v>
      </c>
      <c r="E20" s="11" t="s">
        <v>28</v>
      </c>
      <c r="F20" s="10">
        <v>1</v>
      </c>
      <c r="G20" s="22">
        <v>340</v>
      </c>
      <c r="H20" s="22">
        <f t="shared" si="0"/>
        <v>680</v>
      </c>
      <c r="I20" s="22">
        <f t="shared" si="1"/>
        <v>340</v>
      </c>
      <c r="J20" s="22">
        <f t="shared" si="1"/>
        <v>680</v>
      </c>
      <c r="M20" s="13"/>
    </row>
    <row r="21" spans="3:17" x14ac:dyDescent="0.25">
      <c r="C21" s="10">
        <v>17</v>
      </c>
      <c r="D21" s="11" t="s">
        <v>45</v>
      </c>
      <c r="E21" s="11" t="s">
        <v>46</v>
      </c>
      <c r="F21" s="10">
        <v>6</v>
      </c>
      <c r="G21" s="22">
        <v>3</v>
      </c>
      <c r="H21" s="22">
        <f t="shared" si="0"/>
        <v>6</v>
      </c>
      <c r="I21" s="22">
        <f t="shared" si="1"/>
        <v>18</v>
      </c>
      <c r="J21" s="22">
        <f t="shared" si="1"/>
        <v>36</v>
      </c>
      <c r="M21" s="13"/>
    </row>
    <row r="22" spans="3:17" x14ac:dyDescent="0.25">
      <c r="C22" s="10">
        <v>18</v>
      </c>
      <c r="D22" s="11" t="s">
        <v>33</v>
      </c>
      <c r="E22" s="11" t="s">
        <v>34</v>
      </c>
      <c r="F22" s="10">
        <v>1</v>
      </c>
      <c r="G22" s="22">
        <v>0.4</v>
      </c>
      <c r="H22" s="22">
        <f t="shared" si="0"/>
        <v>0.8</v>
      </c>
      <c r="I22" s="22">
        <f t="shared" si="1"/>
        <v>0.4</v>
      </c>
      <c r="J22" s="22">
        <f t="shared" si="1"/>
        <v>0.8</v>
      </c>
      <c r="M22" s="13">
        <f t="shared" si="4"/>
        <v>16.100000000000001</v>
      </c>
      <c r="N22" s="14">
        <v>0.46</v>
      </c>
      <c r="O22" s="4">
        <v>40</v>
      </c>
      <c r="P22" s="6">
        <f t="shared" ref="P22:P23" si="8">M22/O22</f>
        <v>0.40250000000000002</v>
      </c>
    </row>
    <row r="23" spans="3:17" x14ac:dyDescent="0.25">
      <c r="C23" s="10">
        <v>19</v>
      </c>
      <c r="D23" s="11" t="s">
        <v>47</v>
      </c>
      <c r="E23" s="11" t="s">
        <v>48</v>
      </c>
      <c r="F23" s="10">
        <v>1</v>
      </c>
      <c r="G23" s="22">
        <v>12</v>
      </c>
      <c r="H23" s="22">
        <f t="shared" si="0"/>
        <v>24</v>
      </c>
      <c r="I23" s="22">
        <f t="shared" si="1"/>
        <v>12</v>
      </c>
      <c r="J23" s="22">
        <f t="shared" si="1"/>
        <v>24</v>
      </c>
      <c r="M23" s="13">
        <f>N23*35</f>
        <v>46.2</v>
      </c>
      <c r="N23" s="14">
        <v>1.32</v>
      </c>
      <c r="O23" s="4">
        <v>20</v>
      </c>
      <c r="P23" s="6">
        <f t="shared" si="8"/>
        <v>2.31</v>
      </c>
    </row>
    <row r="24" spans="3:17" x14ac:dyDescent="0.25">
      <c r="C24" s="10">
        <v>20</v>
      </c>
      <c r="D24" s="11" t="s">
        <v>39</v>
      </c>
      <c r="E24" s="11"/>
      <c r="F24" s="10">
        <v>1</v>
      </c>
      <c r="G24" s="22">
        <v>20</v>
      </c>
      <c r="H24" s="22">
        <f t="shared" si="0"/>
        <v>40</v>
      </c>
      <c r="I24" s="22">
        <f t="shared" si="1"/>
        <v>20</v>
      </c>
      <c r="J24" s="22">
        <f t="shared" si="1"/>
        <v>40</v>
      </c>
    </row>
    <row r="25" spans="3:17" x14ac:dyDescent="0.25">
      <c r="C25" s="10">
        <v>21</v>
      </c>
      <c r="D25" s="11" t="s">
        <v>52</v>
      </c>
      <c r="E25" s="11"/>
      <c r="F25" s="10">
        <v>1</v>
      </c>
      <c r="G25" s="22">
        <v>20</v>
      </c>
      <c r="H25" s="22">
        <f t="shared" si="0"/>
        <v>40</v>
      </c>
      <c r="I25" s="22">
        <f t="shared" si="1"/>
        <v>20</v>
      </c>
      <c r="J25" s="22">
        <f t="shared" si="1"/>
        <v>40</v>
      </c>
    </row>
    <row r="26" spans="3:17" x14ac:dyDescent="0.25">
      <c r="C26" s="10">
        <v>22</v>
      </c>
      <c r="D26" s="11" t="s">
        <v>51</v>
      </c>
      <c r="E26" s="11"/>
      <c r="F26" s="10">
        <v>1</v>
      </c>
      <c r="G26" s="22">
        <v>50</v>
      </c>
      <c r="H26" s="22">
        <f t="shared" si="0"/>
        <v>100</v>
      </c>
      <c r="I26" s="22">
        <f t="shared" si="1"/>
        <v>50</v>
      </c>
      <c r="J26" s="22">
        <f t="shared" si="1"/>
        <v>100</v>
      </c>
    </row>
    <row r="27" spans="3:17" x14ac:dyDescent="0.25">
      <c r="C27" s="10">
        <v>23</v>
      </c>
      <c r="D27" s="11" t="s">
        <v>50</v>
      </c>
      <c r="E27" s="11"/>
      <c r="F27" s="10">
        <v>1</v>
      </c>
      <c r="G27" s="22">
        <v>500</v>
      </c>
      <c r="H27" s="22">
        <f t="shared" si="0"/>
        <v>1000</v>
      </c>
      <c r="I27" s="22">
        <f t="shared" si="1"/>
        <v>500</v>
      </c>
      <c r="J27" s="22">
        <f t="shared" si="1"/>
        <v>1000</v>
      </c>
    </row>
    <row r="28" spans="3:17" x14ac:dyDescent="0.25">
      <c r="C28" s="10">
        <v>24</v>
      </c>
      <c r="D28" s="11" t="s">
        <v>16</v>
      </c>
      <c r="E28" s="11" t="s">
        <v>18</v>
      </c>
      <c r="F28" s="10">
        <v>5</v>
      </c>
      <c r="G28" s="22">
        <v>8</v>
      </c>
      <c r="H28" s="22">
        <f t="shared" si="0"/>
        <v>16</v>
      </c>
      <c r="I28" s="22">
        <f t="shared" si="1"/>
        <v>40</v>
      </c>
      <c r="J28" s="22">
        <f t="shared" si="1"/>
        <v>80</v>
      </c>
      <c r="N28" s="4">
        <v>8</v>
      </c>
      <c r="O28" s="4">
        <v>100</v>
      </c>
      <c r="P28" s="6">
        <f>N28*O28</f>
        <v>800</v>
      </c>
      <c r="Q28" s="27">
        <v>1589</v>
      </c>
    </row>
    <row r="29" spans="3:17" x14ac:dyDescent="0.25">
      <c r="C29" s="10">
        <v>25</v>
      </c>
      <c r="D29" s="11" t="s">
        <v>17</v>
      </c>
      <c r="E29" s="11" t="s">
        <v>19</v>
      </c>
      <c r="F29" s="10">
        <v>1</v>
      </c>
      <c r="G29" s="22">
        <v>109</v>
      </c>
      <c r="H29" s="22">
        <f t="shared" si="0"/>
        <v>218</v>
      </c>
      <c r="I29" s="22">
        <f t="shared" si="1"/>
        <v>109</v>
      </c>
      <c r="J29" s="22">
        <f t="shared" si="1"/>
        <v>218</v>
      </c>
      <c r="N29" s="4">
        <v>950</v>
      </c>
      <c r="O29" s="4">
        <v>1</v>
      </c>
      <c r="P29" s="6">
        <f>N29*O29</f>
        <v>950</v>
      </c>
      <c r="Q29" s="27"/>
    </row>
    <row r="30" spans="3:17" x14ac:dyDescent="0.25">
      <c r="C30" s="15"/>
      <c r="D30" s="16"/>
      <c r="E30" s="16"/>
      <c r="F30" s="15"/>
      <c r="G30" s="23"/>
      <c r="H30" s="23"/>
      <c r="I30" s="23"/>
      <c r="J30" s="23"/>
    </row>
    <row r="31" spans="3:17" x14ac:dyDescent="0.25">
      <c r="C31" s="18"/>
      <c r="D31" s="19"/>
      <c r="E31" s="19"/>
      <c r="F31" s="20"/>
      <c r="G31" s="24"/>
      <c r="H31" s="24"/>
      <c r="I31" s="24">
        <f>SUM(I5:I29)</f>
        <v>2880.6300000000006</v>
      </c>
      <c r="J31" s="25">
        <f>SUM(J5:J29)</f>
        <v>5761.2600000000011</v>
      </c>
    </row>
    <row r="32" spans="3:17" x14ac:dyDescent="0.25">
      <c r="G32" s="6"/>
      <c r="H32" s="6"/>
      <c r="I32" s="6"/>
      <c r="J32" s="6"/>
    </row>
    <row r="33" spans="5:10" x14ac:dyDescent="0.25">
      <c r="E33" s="17"/>
      <c r="G33" s="6"/>
      <c r="H33" s="6"/>
      <c r="I33" s="6"/>
      <c r="J33" s="6">
        <v>17000</v>
      </c>
    </row>
    <row r="35" spans="5:10" x14ac:dyDescent="0.25">
      <c r="E35" s="17"/>
      <c r="I35" s="5"/>
    </row>
    <row r="36" spans="5:10" x14ac:dyDescent="0.25">
      <c r="I36" s="5"/>
    </row>
    <row r="37" spans="5:10" x14ac:dyDescent="0.25">
      <c r="H37" s="26"/>
    </row>
  </sheetData>
  <mergeCells count="1">
    <mergeCell ref="Q28:Q2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วีรชัย คำพันธ์</dc:creator>
  <cp:lastModifiedBy>วีรชัย คำพันธ์</cp:lastModifiedBy>
  <dcterms:created xsi:type="dcterms:W3CDTF">2015-06-05T18:17:20Z</dcterms:created>
  <dcterms:modified xsi:type="dcterms:W3CDTF">2025-12-25T13:48:32Z</dcterms:modified>
</cp:coreProperties>
</file>